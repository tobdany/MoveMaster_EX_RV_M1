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MoveMaster_EX_RV_M1\Hardware\"/>
    </mc:Choice>
  </mc:AlternateContent>
  <xr:revisionPtr revIDLastSave="0" documentId="13_ncr:1_{BC675DC1-51B2-4004-ADF0-E89EAE5C0C19}" xr6:coauthVersionLast="47" xr6:coauthVersionMax="47" xr10:uidLastSave="{00000000-0000-0000-0000-000000000000}"/>
  <bookViews>
    <workbookView xWindow="-108" yWindow="-108" windowWidth="23256" windowHeight="12456" activeTab="2" xr2:uid="{DBD0C4D8-36FD-40EE-A4B7-782A5EA8A152}"/>
  </bookViews>
  <sheets>
    <sheet name="Encoder" sheetId="1" r:id="rId1"/>
    <sheet name="LS" sheetId="3" r:id="rId2"/>
    <sheet name="SD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1" l="1"/>
  <c r="Z14" i="1"/>
  <c r="Y14" i="1"/>
  <c r="X14" i="1"/>
  <c r="W14" i="1"/>
  <c r="V14" i="1"/>
  <c r="U14" i="1"/>
  <c r="T14" i="1"/>
  <c r="S14" i="1"/>
  <c r="R14" i="1"/>
  <c r="AA13" i="1"/>
  <c r="Z13" i="1"/>
  <c r="Y13" i="1"/>
  <c r="X13" i="1"/>
  <c r="W13" i="1"/>
  <c r="V13" i="1"/>
  <c r="U13" i="1"/>
  <c r="T13" i="1"/>
  <c r="S13" i="1"/>
  <c r="R13" i="1"/>
  <c r="AA12" i="1"/>
  <c r="Z12" i="1"/>
  <c r="Y12" i="1"/>
  <c r="X12" i="1"/>
  <c r="W12" i="1"/>
  <c r="V12" i="1"/>
  <c r="U12" i="1"/>
  <c r="T12" i="1"/>
  <c r="S12" i="1"/>
  <c r="R12" i="1"/>
  <c r="AA11" i="1"/>
  <c r="Z11" i="1"/>
  <c r="Y11" i="1"/>
  <c r="X11" i="1"/>
  <c r="W11" i="1"/>
  <c r="V11" i="1"/>
  <c r="U11" i="1"/>
  <c r="T11" i="1"/>
  <c r="S11" i="1"/>
  <c r="R11" i="1"/>
  <c r="K37" i="2"/>
  <c r="L37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tc={690BD93E-7278-4BCF-9A94-629850B317FC}</author>
    <author>tc={6B614BBA-B8D8-4E9C-919D-16236BBB00F2}</author>
    <author>tc={CF9FD5CB-15E5-418B-AFC4-A99BBD5F0126}</author>
    <author>tc={4B4B6064-2290-4BA6-A7E5-C0C309C3046F}</author>
  </authors>
  <commentList>
    <comment ref="H9" authorId="0" shapeId="0" xr:uid="{690BD93E-7278-4BCF-9A94-629850B317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Son los cables que salen directo de cada encoder</t>
      </text>
    </comment>
    <comment ref="M9" authorId="1" shapeId="0" xr:uid="{6B614BBA-B8D8-4E9C-919D-16236BBB00F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Son los cables que se conectan a la terminal del cable enroscado. Es el intermedio entre captación y transmisión.</t>
      </text>
    </comment>
    <comment ref="Q13" authorId="2" shapeId="0" xr:uid="{CF9FD5CB-15E5-418B-AFC4-A99BBD5F012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tiene intermedio.</t>
      </text>
    </comment>
    <comment ref="Q14" authorId="3" shapeId="0" xr:uid="{4B4B6064-2290-4BA6-A7E5-C0C309C3046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tiene intermedio.</t>
      </text>
    </comment>
  </commentList>
</comments>
</file>

<file path=xl/sharedStrings.xml><?xml version="1.0" encoding="utf-8"?>
<sst xmlns="http://schemas.openxmlformats.org/spreadsheetml/2006/main" count="401" uniqueCount="141">
  <si>
    <t>Motor</t>
  </si>
  <si>
    <t>Marca</t>
  </si>
  <si>
    <t>Lugar</t>
  </si>
  <si>
    <t>Antebrazo</t>
  </si>
  <si>
    <t>NA</t>
  </si>
  <si>
    <t>Pasos</t>
  </si>
  <si>
    <t>SHARP1GR112</t>
  </si>
  <si>
    <t>Azul</t>
  </si>
  <si>
    <t>Amarillo</t>
  </si>
  <si>
    <t>GRIS</t>
  </si>
  <si>
    <t>ROJO</t>
  </si>
  <si>
    <t>VERDE</t>
  </si>
  <si>
    <t>AMARILLO</t>
  </si>
  <si>
    <t>AZUL</t>
  </si>
  <si>
    <t>a</t>
  </si>
  <si>
    <t>b</t>
  </si>
  <si>
    <t>Rojo</t>
  </si>
  <si>
    <t>Gris</t>
  </si>
  <si>
    <t>Verde</t>
  </si>
  <si>
    <t>Negro</t>
  </si>
  <si>
    <t>v</t>
  </si>
  <si>
    <t>g</t>
  </si>
  <si>
    <t>z</t>
  </si>
  <si>
    <t>amarillo</t>
  </si>
  <si>
    <t>verde</t>
  </si>
  <si>
    <t>gris</t>
  </si>
  <si>
    <t>rojo</t>
  </si>
  <si>
    <t>azul</t>
  </si>
  <si>
    <t>negro</t>
  </si>
  <si>
    <t>?</t>
  </si>
  <si>
    <t>SHARP GP1R112</t>
  </si>
  <si>
    <t>Segmento de captación</t>
  </si>
  <si>
    <t>Segmento de transmisión</t>
  </si>
  <si>
    <t>A4</t>
  </si>
  <si>
    <t>B5</t>
  </si>
  <si>
    <t>ID</t>
  </si>
  <si>
    <t>ENC5</t>
  </si>
  <si>
    <t>ENC4</t>
  </si>
  <si>
    <t>ENC1</t>
  </si>
  <si>
    <t>VERDE CLARO</t>
  </si>
  <si>
    <t>ENC2</t>
  </si>
  <si>
    <t>ENC3</t>
  </si>
  <si>
    <t>Encoder</t>
  </si>
  <si>
    <t>Segmento de captación:  Son los cables que salen directo de cada encoder.</t>
  </si>
  <si>
    <t>Segmento de transmisión: Son los cables que se conectan a la terminal del cable enroscado. Es el intermedio entre captación y transmisión.</t>
  </si>
  <si>
    <t>Segmentos de distribución principal</t>
  </si>
  <si>
    <t>Son los dos cables enroscados que agrupa las señales de encoders, sensores de final de carrera y frenos.</t>
  </si>
  <si>
    <t>Segmento B:  Terminal donde se agrupan los encoders, finales de carrera y frenos</t>
  </si>
  <si>
    <t>Segmento A</t>
  </si>
  <si>
    <t>Segmento B</t>
  </si>
  <si>
    <t>Cara</t>
  </si>
  <si>
    <t>ID Señal</t>
  </si>
  <si>
    <t>SDP</t>
  </si>
  <si>
    <t>Pin</t>
  </si>
  <si>
    <t>LS5</t>
  </si>
  <si>
    <t>LS3</t>
  </si>
  <si>
    <t>Z5</t>
  </si>
  <si>
    <t>G5</t>
  </si>
  <si>
    <t>V5</t>
  </si>
  <si>
    <t>LS4</t>
  </si>
  <si>
    <t>LS2</t>
  </si>
  <si>
    <t>A5</t>
  </si>
  <si>
    <t>Z4</t>
  </si>
  <si>
    <t>B4</t>
  </si>
  <si>
    <t>G4</t>
  </si>
  <si>
    <t>V4</t>
  </si>
  <si>
    <t>Color2</t>
  </si>
  <si>
    <t>BLANCO</t>
  </si>
  <si>
    <t>MORADO</t>
  </si>
  <si>
    <t>NEGRO</t>
  </si>
  <si>
    <t>Finales de carrera [LS]</t>
  </si>
  <si>
    <t xml:space="preserve">SDP: Se refiere a la terminal que sale del  "segmentos de distribución principal". </t>
  </si>
  <si>
    <t>Los finales de carrera se encuentran en el segmento B.</t>
  </si>
  <si>
    <t>LS1</t>
  </si>
  <si>
    <t>MUÑECA</t>
  </si>
  <si>
    <t>ANTEBRAZO</t>
  </si>
  <si>
    <t>CODO</t>
  </si>
  <si>
    <t>HOMBRO</t>
  </si>
  <si>
    <t>CADERA</t>
  </si>
  <si>
    <t>INFERIOR</t>
  </si>
  <si>
    <t>SUPERIOR</t>
  </si>
  <si>
    <t xml:space="preserve">VACÍO </t>
  </si>
  <si>
    <t>VACÍO</t>
  </si>
  <si>
    <t>Z_c</t>
  </si>
  <si>
    <t>B_c</t>
  </si>
  <si>
    <t>A_c</t>
  </si>
  <si>
    <t>G_c</t>
  </si>
  <si>
    <t>V_c</t>
  </si>
  <si>
    <t>V_t</t>
  </si>
  <si>
    <t>G_t</t>
  </si>
  <si>
    <t>A_t</t>
  </si>
  <si>
    <t>B_t</t>
  </si>
  <si>
    <t>Z_t</t>
  </si>
  <si>
    <t>V_s</t>
  </si>
  <si>
    <t>G_s</t>
  </si>
  <si>
    <t>G_s_PIN</t>
  </si>
  <si>
    <t>V_s_PIN</t>
  </si>
  <si>
    <t>A_s</t>
  </si>
  <si>
    <t>A_s_PIN</t>
  </si>
  <si>
    <t>B_s</t>
  </si>
  <si>
    <t>B_s_PIN</t>
  </si>
  <si>
    <t>Z_s</t>
  </si>
  <si>
    <t>Z_s_PIN</t>
  </si>
  <si>
    <t>LS1: No está conectado al SDP, tiene su terminal independiente (suelta)</t>
  </si>
  <si>
    <t>Cara superior: Donde se encuentra la muesca de la terminal</t>
  </si>
  <si>
    <t>SDP:  Donde se encuentra agrupadas las señales de encoders, frenos y finales de carrera</t>
  </si>
  <si>
    <t>Cadera: No tiene conexión ni en el segmento de transmisión ni SDP.</t>
  </si>
  <si>
    <t>A3</t>
  </si>
  <si>
    <t>Z2</t>
  </si>
  <si>
    <t>B2</t>
  </si>
  <si>
    <t>G2</t>
  </si>
  <si>
    <t>V2</t>
  </si>
  <si>
    <t>Extra?</t>
  </si>
  <si>
    <t>Z3</t>
  </si>
  <si>
    <t>B3</t>
  </si>
  <si>
    <t>A2</t>
  </si>
  <si>
    <t>G3</t>
  </si>
  <si>
    <t>V3</t>
  </si>
  <si>
    <t>Alzado</t>
  </si>
  <si>
    <t>Muesca</t>
  </si>
  <si>
    <t>LUGAR</t>
  </si>
  <si>
    <t>CAPTACIÓN</t>
  </si>
  <si>
    <t>TRANSMISIÓN</t>
  </si>
  <si>
    <t>M1</t>
  </si>
  <si>
    <t>M2</t>
  </si>
  <si>
    <t>M3</t>
  </si>
  <si>
    <t>M4</t>
  </si>
  <si>
    <t>M5</t>
  </si>
  <si>
    <t>NARANJA</t>
  </si>
  <si>
    <t>CAFÉ</t>
  </si>
  <si>
    <t>C1</t>
  </si>
  <si>
    <t>C2</t>
  </si>
  <si>
    <t>T1</t>
  </si>
  <si>
    <t>T2</t>
  </si>
  <si>
    <t>S1</t>
  </si>
  <si>
    <t>S2</t>
  </si>
  <si>
    <t>Segmento A: De ellos salen las señales de control de los motores y frenos</t>
  </si>
  <si>
    <t>ROSA</t>
  </si>
  <si>
    <t>COLOR T</t>
  </si>
  <si>
    <t>COLOR S</t>
  </si>
  <si>
    <t>COLOR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</si>
</sst>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i/>
      <sz val="2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4" borderId="4" xfId="0" applyFill="1" applyBorder="1"/>
    <xf numFmtId="0" fontId="0" fillId="5" borderId="4" xfId="0" applyFill="1" applyBorder="1"/>
    <xf numFmtId="0" fontId="0" fillId="5" borderId="11" xfId="0" applyFill="1" applyBorder="1"/>
    <xf numFmtId="0" fontId="1" fillId="0" borderId="0" xfId="0" applyFont="1"/>
    <xf numFmtId="0" fontId="0" fillId="8" borderId="17" xfId="0" applyFill="1" applyBorder="1"/>
    <xf numFmtId="0" fontId="0" fillId="8" borderId="18" xfId="0" applyFill="1" applyBorder="1"/>
    <xf numFmtId="0" fontId="0" fillId="9" borderId="4" xfId="0" applyFill="1" applyBorder="1"/>
    <xf numFmtId="0" fontId="0" fillId="9" borderId="11" xfId="0" applyFill="1" applyBorder="1"/>
    <xf numFmtId="0" fontId="0" fillId="9" borderId="1" xfId="0" applyFill="1" applyBorder="1"/>
    <xf numFmtId="0" fontId="0" fillId="9" borderId="7" xfId="0" applyFill="1" applyBorder="1"/>
    <xf numFmtId="0" fontId="0" fillId="9" borderId="14" xfId="0" applyFill="1" applyBorder="1"/>
    <xf numFmtId="0" fontId="0" fillId="9" borderId="15" xfId="0" applyFill="1" applyBorder="1"/>
    <xf numFmtId="0" fontId="2" fillId="0" borderId="0" xfId="0" applyFont="1"/>
    <xf numFmtId="0" fontId="0" fillId="8" borderId="19" xfId="0" applyFill="1" applyBorder="1"/>
    <xf numFmtId="0" fontId="0" fillId="9" borderId="20" xfId="0" applyFill="1" applyBorder="1"/>
    <xf numFmtId="0" fontId="0" fillId="9" borderId="21" xfId="0" applyFill="1" applyBorder="1"/>
    <xf numFmtId="0" fontId="0" fillId="9" borderId="22" xfId="0" applyFill="1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16" xfId="0" applyBorder="1"/>
    <xf numFmtId="0" fontId="0" fillId="9" borderId="5" xfId="0" applyFill="1" applyBorder="1"/>
    <xf numFmtId="0" fontId="0" fillId="9" borderId="9" xfId="0" applyFill="1" applyBorder="1"/>
    <xf numFmtId="0" fontId="0" fillId="9" borderId="13" xfId="0" applyFill="1" applyBorder="1"/>
    <xf numFmtId="0" fontId="0" fillId="0" borderId="9" xfId="0" applyBorder="1"/>
    <xf numFmtId="0" fontId="0" fillId="10" borderId="1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5" xfId="0" applyBorder="1"/>
    <xf numFmtId="0" fontId="0" fillId="12" borderId="12" xfId="0" applyFill="1" applyBorder="1"/>
    <xf numFmtId="0" fontId="0" fillId="9" borderId="24" xfId="0" applyFont="1" applyFill="1" applyBorder="1"/>
    <xf numFmtId="0" fontId="0" fillId="0" borderId="24" xfId="0" applyFont="1" applyBorder="1"/>
    <xf numFmtId="0" fontId="0" fillId="12" borderId="0" xfId="0" applyFill="1"/>
    <xf numFmtId="0" fontId="0" fillId="10" borderId="1" xfId="0" applyFont="1" applyFill="1" applyBorder="1"/>
    <xf numFmtId="0" fontId="0" fillId="2" borderId="3" xfId="0" applyFill="1" applyBorder="1" applyAlignment="1">
      <alignment horizontal="center"/>
    </xf>
    <xf numFmtId="0" fontId="0" fillId="13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3" xfId="0" applyFill="1" applyBorder="1" applyAlignment="1"/>
    <xf numFmtId="0" fontId="0" fillId="2" borderId="3" xfId="0" applyFill="1" applyBorder="1"/>
    <xf numFmtId="0" fontId="0" fillId="6" borderId="6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11" borderId="4" xfId="0" applyFill="1" applyBorder="1"/>
    <xf numFmtId="0" fontId="0" fillId="11" borderId="11" xfId="0" applyFill="1" applyBorder="1"/>
  </cellXfs>
  <cellStyles count="1">
    <cellStyle name="Normal" xfId="0" builtinId="0"/>
  </cellStyles>
  <dxfs count="7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602598</xdr:colOff>
      <xdr:row>33</xdr:row>
      <xdr:rowOff>39590</xdr:rowOff>
    </xdr:from>
    <xdr:to>
      <xdr:col>16</xdr:col>
      <xdr:colOff>614320</xdr:colOff>
      <xdr:row>59</xdr:row>
      <xdr:rowOff>160359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88A93-8DA5-B2D7-2132-2DD988EB2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541" y="7170760"/>
          <a:ext cx="3174741" cy="5253486"/>
        </a:xfrm>
        <a:prstGeom prst="rect">
          <a:avLst/>
        </a:prstGeom>
      </xdr:spPr>
    </xdr:pic>
    <xdr:clientData/>
  </xdr:twoCellAnchor>
  <xdr:twoCellAnchor editAs="oneCell">
    <xdr:from>
      <xdr:col>15</xdr:col>
      <xdr:colOff>183090</xdr:colOff>
      <xdr:row>1</xdr:row>
      <xdr:rowOff>90499</xdr:rowOff>
    </xdr:from>
    <xdr:to>
      <xdr:col>16</xdr:col>
      <xdr:colOff>597942</xdr:colOff>
      <xdr:row>11</xdr:row>
      <xdr:rowOff>148176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11C3F86-5A44-2B38-B1FA-277ECC908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7511" y="277657"/>
          <a:ext cx="1203589" cy="2624414"/>
        </a:xfrm>
        <a:prstGeom prst="rect">
          <a:avLst/>
        </a:prstGeom>
      </xdr:spPr>
    </xdr:pic>
    <xdr:clientData/>
  </xdr:twoCellAnchor>
  <xdr:twoCellAnchor editAs="oneCell">
    <xdr:from>
      <xdr:col>16</xdr:col>
      <xdr:colOff>661613</xdr:colOff>
      <xdr:row>1</xdr:row>
      <xdr:rowOff>89160</xdr:rowOff>
    </xdr:from>
    <xdr:to>
      <xdr:col>21</xdr:col>
      <xdr:colOff>44345</xdr:colOff>
      <xdr:row>11</xdr:row>
      <xdr:rowOff>149515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7EBA36E-3F0F-2509-5033-20E8F762D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4771" y="276318"/>
          <a:ext cx="3326416" cy="2627092"/>
        </a:xfrm>
        <a:prstGeom prst="rect">
          <a:avLst/>
        </a:prstGeom>
      </xdr:spPr>
    </xdr:pic>
    <xdr:clientData/>
  </xdr:twoCellAnchor>
  <xdr:twoCellAnchor editAs="oneCell">
    <xdr:from>
      <xdr:col>11</xdr:col>
      <xdr:colOff>768271</xdr:colOff>
      <xdr:row>1</xdr:row>
      <xdr:rowOff>102899</xdr:rowOff>
    </xdr:from>
    <xdr:to>
      <xdr:col>15</xdr:col>
      <xdr:colOff>91503</xdr:colOff>
      <xdr:row>11</xdr:row>
      <xdr:rowOff>135777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A86F13F-23D2-374C-E08C-85550F4D7F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00" t="33417" r="47897" b="12146"/>
        <a:stretch>
          <a:fillRect/>
        </a:stretch>
      </xdr:blipFill>
      <xdr:spPr>
        <a:xfrm rot="5400000">
          <a:off x="9397027" y="350775"/>
          <a:ext cx="2599615" cy="247817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762002</xdr:colOff>
      <xdr:row>14</xdr:row>
      <xdr:rowOff>152050</xdr:rowOff>
    </xdr:from>
    <xdr:to>
      <xdr:col>14</xdr:col>
      <xdr:colOff>735264</xdr:colOff>
      <xdr:row>29</xdr:row>
      <xdr:rowOff>1438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464D7A9-ED56-2D45-2303-A4E86C94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1476" y="3467418"/>
          <a:ext cx="2339472" cy="292907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a Tobón Pérez" id="{957F0303-6437-4D76-B21F-F17B4BFB9378}" userId="S::daniela.tobon@anahuac.mx::a48185ec-1792-49f6-bcca-85cc6c487b1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B57FFF-4444-4A00-A8A3-2A713CC18E27}" name="Tabla2" displayName="Tabla2" ref="C10:AA15" totalsRowShown="0" headerRowDxfId="69" headerRowBorderDxfId="68" tableBorderDxfId="67" totalsRowBorderDxfId="66">
  <autoFilter ref="C10:AA15" xr:uid="{5AB57FFF-4444-4A00-A8A3-2A713CC18E27}"/>
  <tableColumns count="25">
    <tableColumn id="15" xr3:uid="{35472664-4888-4E33-8F70-018EC81E305F}" name="ID" dataDxfId="65"/>
    <tableColumn id="1" xr3:uid="{60BB77D9-F8F2-4E19-8376-FCF5645E5677}" name="Lugar" dataDxfId="64"/>
    <tableColumn id="2" xr3:uid="{7AD84C85-71CE-4FF5-B014-629B326AB9C6}" name="Motor" dataDxfId="63"/>
    <tableColumn id="3" xr3:uid="{D7257013-96B7-450F-A45C-2A3641B04DC4}" name="Marca" dataDxfId="62"/>
    <tableColumn id="4" xr3:uid="{956DD2CA-D1C0-45B1-8823-A26C2042B277}" name="Pasos" dataDxfId="61"/>
    <tableColumn id="5" xr3:uid="{A8BC8F73-DA59-4E0B-B714-B74F3A888CFC}" name="V_c" dataDxfId="60"/>
    <tableColumn id="6" xr3:uid="{17304D8D-E29F-4DC0-9CE0-A64FDE28E117}" name="G_c" dataDxfId="59"/>
    <tableColumn id="7" xr3:uid="{887F94B1-3783-4722-AC21-032BC5EC460B}" name="A_c" dataDxfId="58"/>
    <tableColumn id="8" xr3:uid="{511C04D8-F35C-4361-920D-F9DBF8A93DC3}" name="B_c" dataDxfId="57"/>
    <tableColumn id="9" xr3:uid="{0CF1D875-62AC-4014-A2A2-6474B8B340EA}" name="Z_c" dataDxfId="56"/>
    <tableColumn id="10" xr3:uid="{2ABB07A1-1840-4BCD-8A28-D60114DA4E15}" name="V_t" dataDxfId="55"/>
    <tableColumn id="11" xr3:uid="{87077804-760A-4B4E-BB8D-A9E9ADBD5FDB}" name="G_t" dataDxfId="54"/>
    <tableColumn id="12" xr3:uid="{7248AB8D-3411-4505-A5BA-6660E9D48924}" name="A_t" dataDxfId="53"/>
    <tableColumn id="13" xr3:uid="{38DDBDE7-5BD5-4B27-A9E7-A919F3CDD649}" name="B_t" dataDxfId="52"/>
    <tableColumn id="14" xr3:uid="{3333FCD1-3F67-4791-88B7-15CA60012681}" name="Z_t" dataDxfId="51"/>
    <tableColumn id="16" xr3:uid="{88B34E5E-9898-4EA3-9C2D-C30ACCE3972A}" name="V_s" dataDxfId="50"/>
    <tableColumn id="21" xr3:uid="{62037E4C-BF52-4802-8B09-140DC37E78C0}" name="V_s_PIN" dataDxfId="49"/>
    <tableColumn id="17" xr3:uid="{4FA92C6A-4BE2-4424-8824-93DFE4CAA669}" name="G_s" dataDxfId="48"/>
    <tableColumn id="22" xr3:uid="{0A0557E2-DAB2-41E3-A26F-6ACEB9627423}" name="G_s_PIN" dataDxfId="47"/>
    <tableColumn id="18" xr3:uid="{A6CB8CE0-399E-4643-8FB4-53D82E1DA190}" name="A_s" dataDxfId="46"/>
    <tableColumn id="23" xr3:uid="{271FD1AE-72F2-4F4D-B30A-9358D4B188BA}" name="A_s_PIN" dataDxfId="45"/>
    <tableColumn id="19" xr3:uid="{13A4125C-8E69-4CA5-A72A-AE16EDBBDD68}" name="B_s" dataDxfId="44"/>
    <tableColumn id="24" xr3:uid="{5BDB0641-A759-434E-B464-1A216F12D9FD}" name="B_s_PIN" dataDxfId="43"/>
    <tableColumn id="20" xr3:uid="{61F5FE93-E433-40D3-B402-8EC7C0CA8650}" name="Z_s" dataDxfId="42"/>
    <tableColumn id="25" xr3:uid="{602A9E03-9C7A-4BEA-A947-DF6EC467A49D}" name="Z_s_PIN" dataDxfId="4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35D393-3E8B-469D-B0E4-8AB120485754}" name="Tabla4" displayName="Tabla4" ref="B11:H21" totalsRowShown="0" headerRowDxfId="0" headerRowBorderDxfId="9" tableBorderDxfId="10" totalsRowBorderDxfId="8">
  <autoFilter ref="B11:H21" xr:uid="{9735D393-3E8B-469D-B0E4-8AB120485754}"/>
  <tableColumns count="7">
    <tableColumn id="1" xr3:uid="{4C338A9E-B9F6-4914-8DCC-71AB874BC2AF}" name="ID" dataDxfId="7"/>
    <tableColumn id="2" xr3:uid="{4C12F902-B94F-4C22-8F73-EF4059CA921C}" name="Lugar" dataDxfId="6"/>
    <tableColumn id="6" xr3:uid="{B56AD251-DC21-4A3C-89A4-50E8E85B59CD}" name="COLOR C" dataDxfId="5"/>
    <tableColumn id="7" xr3:uid="{335C4DDF-4B59-40A4-BF0D-19849664F8F1}" name="COLOR T" dataDxfId="4"/>
    <tableColumn id="3" xr3:uid="{0798196F-3013-4DE1-BE59-C3063650A5FF}" name="Cara" dataDxfId="3"/>
    <tableColumn id="4" xr3:uid="{9141A290-C998-4904-80B4-1822AB5ECC0D}" name="Pin" dataDxfId="2"/>
    <tableColumn id="5" xr3:uid="{44A0D48B-5B89-4632-B970-2E8368733852}" name="COLOR S" dataDxfId="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5652D-14F3-4749-A379-051426F86DEB}" name="Tabla3" displayName="Tabla3" ref="B26:E60" totalsRowShown="0" headerRowDxfId="40" headerRowBorderDxfId="39" tableBorderDxfId="38" totalsRowBorderDxfId="37">
  <autoFilter ref="B26:E60" xr:uid="{53E5652D-14F3-4749-A379-051426F86DEB}"/>
  <tableColumns count="4">
    <tableColumn id="1" xr3:uid="{75E2AC4B-9E15-4CD1-A84B-760923E83C44}" name="ID Señal" dataDxfId="36"/>
    <tableColumn id="4" xr3:uid="{2B2202AB-FDAF-4673-B945-133200A2BB49}" name="Cara" dataDxfId="35"/>
    <tableColumn id="5" xr3:uid="{1238E689-F1A0-4D52-993F-5BE6BF549449}" name="Pin" dataDxfId="34"/>
    <tableColumn id="6" xr3:uid="{C83E14ED-E17E-4693-995A-2473A3D0F8BB}" name="Color2" dataDxfId="3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1948B-7167-40A0-B173-0627CA8C819E}" name="Tabla1" displayName="Tabla1" ref="B10:I15" totalsRowShown="0" headerRowDxfId="22" dataDxfId="32" headerRowBorderDxfId="23">
  <autoFilter ref="B10:I15" xr:uid="{F321948B-7167-40A0-B173-0627CA8C819E}"/>
  <tableColumns count="8">
    <tableColumn id="1" xr3:uid="{AA834981-BF32-4C1D-ADC2-FD6983E60C8F}" name="ID" dataDxfId="31"/>
    <tableColumn id="2" xr3:uid="{746F6DD2-7D1E-4CE4-9FDC-41EF803FBB5B}" name="LUGAR" dataDxfId="30"/>
    <tableColumn id="3" xr3:uid="{48DCEB70-0734-4228-81C7-F54D5E48390E}" name="C1" dataDxfId="29"/>
    <tableColumn id="4" xr3:uid="{E2DA20D2-D6F1-4DD1-A9AA-3A8A793EB4F5}" name="C2" dataDxfId="28"/>
    <tableColumn id="5" xr3:uid="{C09C0FBF-E727-4E89-82ED-7882785C0D93}" name="T1" dataDxfId="27"/>
    <tableColumn id="6" xr3:uid="{621960FF-09EE-4008-BD43-032D222BD408}" name="T2" dataDxfId="26"/>
    <tableColumn id="7" xr3:uid="{1A83516D-79E7-46E3-A856-69D20C47A23B}" name="S1" dataDxfId="25"/>
    <tableColumn id="8" xr3:uid="{04E1947A-E6AD-43C7-84AF-9C6CF50B19A5}" name="S2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BC1FDC-25B6-4C73-AE9B-2AED238091CE}" name="Tabla16" displayName="Tabla16" ref="B19:I21" totalsRowShown="0" headerRowDxfId="21" dataDxfId="20" headerRowBorderDxfId="19">
  <autoFilter ref="B19:I21" xr:uid="{8ABC1FDC-25B6-4C73-AE9B-2AED238091CE}"/>
  <tableColumns count="8">
    <tableColumn id="1" xr3:uid="{68C2B52C-A14B-4C38-B16D-408C8D6147A3}" name="ID" dataDxfId="18"/>
    <tableColumn id="2" xr3:uid="{763F3526-58B2-4A12-8D90-FDF5ACB4CBB6}" name="LUGAR" dataDxfId="17"/>
    <tableColumn id="3" xr3:uid="{5A08639D-8323-4EF5-9CFA-E81D054A5DE9}" name="C1" dataDxfId="16"/>
    <tableColumn id="4" xr3:uid="{677B4D7D-EF5F-46AF-A8C8-F574812EBF23}" name="C2" dataDxfId="15"/>
    <tableColumn id="5" xr3:uid="{971B451F-8E75-46AF-9E0C-687DA0E77F35}" name="T1" dataDxfId="14"/>
    <tableColumn id="6" xr3:uid="{F2B9ADD4-7D9B-47E4-B7E2-4B190436A314}" name="T2" dataDxfId="13"/>
    <tableColumn id="7" xr3:uid="{C6A06F0D-2FBC-4273-ACD3-72D92631E8B2}" name="S1" dataDxfId="12"/>
    <tableColumn id="8" xr3:uid="{9E04463F-5379-457A-B255-F312E7922ACC}" name="S2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" dT="2026-03-02T21:34:35.27" personId="{957F0303-6437-4D76-B21F-F17B4BFB9378}" id="{690BD93E-7278-4BCF-9A94-629850B317FC}">
    <text>Son los cables que salen directo de cada encoder</text>
  </threadedComment>
  <threadedComment ref="M9" dT="2026-03-02T21:34:35.27" personId="{957F0303-6437-4D76-B21F-F17B4BFB9378}" id="{6B614BBA-B8D8-4E9C-919D-16236BBB00F2}">
    <text>Son los cables que se conectan a la terminal del cable enroscado. Es el intermedio entre captación y transmisión.</text>
  </threadedComment>
  <threadedComment ref="Q13" dT="2026-03-02T22:03:39.59" personId="{957F0303-6437-4D76-B21F-F17B4BFB9378}" id="{CF9FD5CB-15E5-418B-AFC4-A99BBD5F0126}">
    <text>No tiene intermedio.</text>
  </threadedComment>
  <threadedComment ref="Q14" dT="2026-03-02T22:03:51.05" personId="{957F0303-6437-4D76-B21F-F17B4BFB9378}" id="{4B4B6064-2290-4BA6-A7E5-C0C309C3046F}">
    <text>No tiene intermedio.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7DE7-FBFA-47AF-B578-C187FEF120E5}">
  <dimension ref="C2:AJ23"/>
  <sheetViews>
    <sheetView topLeftCell="B1" zoomScale="68" zoomScaleNormal="100" workbookViewId="0">
      <selection activeCell="H9" sqref="H9:L9"/>
    </sheetView>
  </sheetViews>
  <sheetFormatPr baseColWidth="10" defaultRowHeight="14.4" x14ac:dyDescent="0.3"/>
  <cols>
    <col min="5" max="5" width="14.5546875" bestFit="1" customWidth="1"/>
    <col min="6" max="6" width="17.5546875" customWidth="1"/>
    <col min="15" max="16" width="12.44140625" bestFit="1" customWidth="1"/>
    <col min="18" max="18" width="8.21875" bestFit="1" customWidth="1"/>
    <col min="19" max="19" width="9.5546875" bestFit="1" customWidth="1"/>
    <col min="21" max="21" width="9.6640625" bestFit="1" customWidth="1"/>
    <col min="23" max="23" width="9.5546875" bestFit="1" customWidth="1"/>
    <col min="25" max="25" width="9.5546875" bestFit="1" customWidth="1"/>
    <col min="27" max="27" width="9.44140625" bestFit="1" customWidth="1"/>
  </cols>
  <sheetData>
    <row r="2" spans="3:27" ht="47.4" x14ac:dyDescent="0.9">
      <c r="C2" s="14" t="s">
        <v>42</v>
      </c>
    </row>
    <row r="3" spans="3:27" x14ac:dyDescent="0.3">
      <c r="C3" t="s">
        <v>43</v>
      </c>
    </row>
    <row r="4" spans="3:27" x14ac:dyDescent="0.3">
      <c r="C4" t="s">
        <v>44</v>
      </c>
    </row>
    <row r="5" spans="3:27" x14ac:dyDescent="0.3">
      <c r="C5" t="s">
        <v>105</v>
      </c>
    </row>
    <row r="6" spans="3:27" x14ac:dyDescent="0.3">
      <c r="C6" t="s">
        <v>106</v>
      </c>
    </row>
    <row r="9" spans="3:27" x14ac:dyDescent="0.3">
      <c r="H9" s="39" t="s">
        <v>31</v>
      </c>
      <c r="I9" s="39"/>
      <c r="J9" s="39"/>
      <c r="K9" s="39"/>
      <c r="L9" s="39"/>
      <c r="M9" s="38" t="s">
        <v>32</v>
      </c>
      <c r="N9" s="38"/>
      <c r="O9" s="38"/>
      <c r="P9" s="38"/>
      <c r="Q9" s="38"/>
      <c r="R9" s="37" t="s">
        <v>52</v>
      </c>
      <c r="S9" s="37"/>
      <c r="T9" s="37"/>
      <c r="U9" s="37"/>
      <c r="V9" s="37"/>
      <c r="W9" s="37"/>
      <c r="X9" s="37"/>
      <c r="Y9" s="37"/>
      <c r="Z9" s="37"/>
      <c r="AA9" s="37"/>
    </row>
    <row r="10" spans="3:27" ht="15" thickBot="1" x14ac:dyDescent="0.35">
      <c r="C10" s="9" t="s">
        <v>35</v>
      </c>
      <c r="D10" s="7" t="s">
        <v>2</v>
      </c>
      <c r="E10" s="9" t="s">
        <v>0</v>
      </c>
      <c r="F10" s="9" t="s">
        <v>1</v>
      </c>
      <c r="G10" s="9" t="s">
        <v>5</v>
      </c>
      <c r="H10" s="11" t="s">
        <v>87</v>
      </c>
      <c r="I10" s="11" t="s">
        <v>86</v>
      </c>
      <c r="J10" s="11" t="s">
        <v>85</v>
      </c>
      <c r="K10" s="11" t="s">
        <v>84</v>
      </c>
      <c r="L10" s="11" t="s">
        <v>83</v>
      </c>
      <c r="M10" s="12" t="s">
        <v>88</v>
      </c>
      <c r="N10" s="12" t="s">
        <v>89</v>
      </c>
      <c r="O10" s="12" t="s">
        <v>90</v>
      </c>
      <c r="P10" s="12" t="s">
        <v>91</v>
      </c>
      <c r="Q10" s="13" t="s">
        <v>92</v>
      </c>
      <c r="R10" s="15" t="s">
        <v>93</v>
      </c>
      <c r="S10" s="15" t="s">
        <v>96</v>
      </c>
      <c r="T10" s="15" t="s">
        <v>94</v>
      </c>
      <c r="U10" s="15" t="s">
        <v>95</v>
      </c>
      <c r="V10" s="15" t="s">
        <v>97</v>
      </c>
      <c r="W10" s="15" t="s">
        <v>98</v>
      </c>
      <c r="X10" s="15" t="s">
        <v>99</v>
      </c>
      <c r="Y10" s="15" t="s">
        <v>100</v>
      </c>
      <c r="Z10" s="15" t="s">
        <v>101</v>
      </c>
      <c r="AA10" s="15" t="s">
        <v>102</v>
      </c>
    </row>
    <row r="11" spans="3:27" x14ac:dyDescent="0.3">
      <c r="C11" s="1" t="s">
        <v>36</v>
      </c>
      <c r="D11" s="8" t="s">
        <v>74</v>
      </c>
      <c r="E11" s="1" t="s">
        <v>4</v>
      </c>
      <c r="F11" s="1" t="s">
        <v>29</v>
      </c>
      <c r="G11" s="1" t="s">
        <v>29</v>
      </c>
      <c r="H11" s="1" t="s">
        <v>10</v>
      </c>
      <c r="I11" s="1" t="s">
        <v>9</v>
      </c>
      <c r="J11" s="1" t="s">
        <v>7</v>
      </c>
      <c r="K11" s="1" t="s">
        <v>11</v>
      </c>
      <c r="L11" s="1" t="s">
        <v>8</v>
      </c>
      <c r="M11" s="1" t="s">
        <v>10</v>
      </c>
      <c r="N11" s="1" t="s">
        <v>13</v>
      </c>
      <c r="O11" s="1" t="s">
        <v>39</v>
      </c>
      <c r="P11" s="1" t="s">
        <v>12</v>
      </c>
      <c r="Q11" s="3" t="s">
        <v>9</v>
      </c>
      <c r="R11" s="1" t="str">
        <f>SDP!E58</f>
        <v>BLANCO</v>
      </c>
      <c r="S11" s="1">
        <f>SDP!D58</f>
        <v>15</v>
      </c>
      <c r="T11" s="1" t="str">
        <f>SDP!E56</f>
        <v>AZUL</v>
      </c>
      <c r="U11" s="1">
        <f>SDP!D56</f>
        <v>13</v>
      </c>
      <c r="V11" s="1" t="str">
        <f>SDP!E33</f>
        <v>MORADO</v>
      </c>
      <c r="W11" s="1">
        <f>SDP!D33</f>
        <v>7</v>
      </c>
      <c r="X11" s="1" t="str">
        <f>SDP!E51</f>
        <v>BLANCO</v>
      </c>
      <c r="Y11" s="1">
        <f>SDP!D51</f>
        <v>8</v>
      </c>
      <c r="Z11" s="36" t="str">
        <f>SDP!E50</f>
        <v>BLANCO</v>
      </c>
      <c r="AA11" s="1">
        <f>SDP!D50</f>
        <v>7</v>
      </c>
    </row>
    <row r="12" spans="3:27" x14ac:dyDescent="0.3">
      <c r="C12" s="9" t="s">
        <v>37</v>
      </c>
      <c r="D12" s="8" t="s">
        <v>75</v>
      </c>
      <c r="E12" s="1" t="s">
        <v>4</v>
      </c>
      <c r="F12" s="1" t="s">
        <v>6</v>
      </c>
      <c r="G12" s="1">
        <v>96</v>
      </c>
      <c r="H12" s="1" t="s">
        <v>10</v>
      </c>
      <c r="I12" s="1" t="s">
        <v>9</v>
      </c>
      <c r="J12" s="1" t="s">
        <v>7</v>
      </c>
      <c r="K12" s="1" t="s">
        <v>11</v>
      </c>
      <c r="L12" s="1" t="s">
        <v>8</v>
      </c>
      <c r="M12" s="1" t="s">
        <v>10</v>
      </c>
      <c r="N12" s="1" t="s">
        <v>13</v>
      </c>
      <c r="O12" s="1" t="s">
        <v>39</v>
      </c>
      <c r="P12" s="1" t="s">
        <v>12</v>
      </c>
      <c r="Q12" s="3" t="s">
        <v>9</v>
      </c>
      <c r="R12" s="9" t="str">
        <f>SDP!E41</f>
        <v>ROJO</v>
      </c>
      <c r="S12" s="9">
        <f>SDP!D41</f>
        <v>15</v>
      </c>
      <c r="T12" s="9" t="str">
        <f>SDP!E39</f>
        <v>BLANCO</v>
      </c>
      <c r="U12" s="9">
        <f>SDP!D39</f>
        <v>13</v>
      </c>
      <c r="V12" s="9" t="str">
        <f>SDP!E52</f>
        <v>BLANCO</v>
      </c>
      <c r="W12" s="9">
        <f>SDP!D52</f>
        <v>9</v>
      </c>
      <c r="X12" s="9" t="str">
        <f>SDP!E35</f>
        <v>AMARILLO</v>
      </c>
      <c r="Y12" s="9">
        <f>SDP!D35</f>
        <v>9</v>
      </c>
      <c r="Z12" s="9" t="str">
        <f>SDP!E34</f>
        <v>VERDE</v>
      </c>
      <c r="AA12" s="9">
        <f>SDP!D34</f>
        <v>8</v>
      </c>
    </row>
    <row r="13" spans="3:27" x14ac:dyDescent="0.3">
      <c r="C13" s="1" t="s">
        <v>41</v>
      </c>
      <c r="D13" s="8" t="s">
        <v>76</v>
      </c>
      <c r="E13" s="1">
        <v>5023042</v>
      </c>
      <c r="F13" s="1">
        <v>200</v>
      </c>
      <c r="G13" s="1">
        <v>200</v>
      </c>
      <c r="H13" s="1" t="s">
        <v>12</v>
      </c>
      <c r="I13" s="1" t="s">
        <v>11</v>
      </c>
      <c r="J13" s="1" t="s">
        <v>10</v>
      </c>
      <c r="K13" s="1" t="s">
        <v>9</v>
      </c>
      <c r="L13" s="1" t="s">
        <v>13</v>
      </c>
      <c r="M13" s="1" t="s">
        <v>4</v>
      </c>
      <c r="N13" s="1" t="s">
        <v>4</v>
      </c>
      <c r="O13" s="1" t="s">
        <v>4</v>
      </c>
      <c r="P13" s="1" t="s">
        <v>4</v>
      </c>
      <c r="Q13" s="3" t="s">
        <v>4</v>
      </c>
      <c r="R13" s="1" t="str">
        <f>SDP!E59</f>
        <v>GRIS</v>
      </c>
      <c r="S13" s="1">
        <f>SDP!D59</f>
        <v>16</v>
      </c>
      <c r="T13" s="1" t="str">
        <f>SDP!E57</f>
        <v>AZUL</v>
      </c>
      <c r="U13" s="1">
        <f>SDP!D57</f>
        <v>14</v>
      </c>
      <c r="V13" s="1" t="str">
        <f>SDP!E36</f>
        <v>MORADO</v>
      </c>
      <c r="W13" s="1">
        <f>SDP!D36</f>
        <v>10</v>
      </c>
      <c r="X13" s="1" t="str">
        <f>SDP!E54</f>
        <v>GRIS</v>
      </c>
      <c r="Y13" s="1">
        <f>SDP!D54</f>
        <v>11</v>
      </c>
      <c r="Z13" s="1" t="str">
        <f>SDP!E53</f>
        <v>GRIS</v>
      </c>
      <c r="AA13" s="1">
        <f>SDP!D53</f>
        <v>10</v>
      </c>
    </row>
    <row r="14" spans="3:27" x14ac:dyDescent="0.3">
      <c r="C14" s="1" t="s">
        <v>40</v>
      </c>
      <c r="D14" s="8" t="s">
        <v>77</v>
      </c>
      <c r="E14" s="1">
        <v>5023046</v>
      </c>
      <c r="F14" s="1">
        <v>200</v>
      </c>
      <c r="G14" s="1">
        <v>200</v>
      </c>
      <c r="H14" s="1" t="s">
        <v>12</v>
      </c>
      <c r="I14" s="1" t="s">
        <v>11</v>
      </c>
      <c r="J14" s="1" t="s">
        <v>10</v>
      </c>
      <c r="K14" s="1" t="s">
        <v>9</v>
      </c>
      <c r="L14" s="1" t="s">
        <v>13</v>
      </c>
      <c r="M14" s="1" t="s">
        <v>4</v>
      </c>
      <c r="N14" s="1" t="s">
        <v>4</v>
      </c>
      <c r="O14" s="1" t="s">
        <v>4</v>
      </c>
      <c r="P14" s="1" t="s">
        <v>4</v>
      </c>
      <c r="Q14" s="3" t="s">
        <v>4</v>
      </c>
      <c r="R14" s="1" t="str">
        <f>SDP!E42</f>
        <v>ROJO</v>
      </c>
      <c r="S14" s="1">
        <f>SDP!D42</f>
        <v>16</v>
      </c>
      <c r="T14" s="1" t="str">
        <f>SDP!E40</f>
        <v>GRIS</v>
      </c>
      <c r="U14" s="1">
        <f>SDP!D40</f>
        <v>14</v>
      </c>
      <c r="V14" s="1" t="str">
        <f>SDP!E55</f>
        <v>GRIS</v>
      </c>
      <c r="W14" s="1">
        <f>SDP!D55</f>
        <v>12</v>
      </c>
      <c r="X14" s="1" t="str">
        <f>SDP!E38</f>
        <v>AMARILLO</v>
      </c>
      <c r="Y14" s="1">
        <f>SDP!D38</f>
        <v>12</v>
      </c>
      <c r="Z14" s="1" t="str">
        <f>SDP!E37</f>
        <v>VERDE</v>
      </c>
      <c r="AA14" s="1">
        <f>SDP!D37</f>
        <v>11</v>
      </c>
    </row>
    <row r="15" spans="3:27" x14ac:dyDescent="0.3">
      <c r="C15" s="1" t="s">
        <v>38</v>
      </c>
      <c r="D15" s="8" t="s">
        <v>78</v>
      </c>
      <c r="E15" s="1">
        <v>5023008</v>
      </c>
      <c r="F15" s="1" t="s">
        <v>30</v>
      </c>
      <c r="G15" s="1"/>
      <c r="H15" s="1" t="s">
        <v>12</v>
      </c>
      <c r="I15" s="1" t="s">
        <v>11</v>
      </c>
      <c r="J15" s="1" t="s">
        <v>10</v>
      </c>
      <c r="K15" s="1" t="s">
        <v>9</v>
      </c>
      <c r="L15" s="1" t="s">
        <v>13</v>
      </c>
      <c r="M15" s="1" t="s">
        <v>4</v>
      </c>
      <c r="N15" s="1" t="s">
        <v>4</v>
      </c>
      <c r="O15" s="1" t="s">
        <v>4</v>
      </c>
      <c r="P15" s="1" t="s">
        <v>4</v>
      </c>
      <c r="Q15" s="3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4" t="s">
        <v>4</v>
      </c>
      <c r="AA15" s="4" t="s">
        <v>4</v>
      </c>
    </row>
    <row r="17" spans="33:36" x14ac:dyDescent="0.3">
      <c r="AH17" t="s">
        <v>3</v>
      </c>
      <c r="AI17" s="1">
        <v>5023046</v>
      </c>
    </row>
    <row r="18" spans="33:36" x14ac:dyDescent="0.3">
      <c r="AG18" t="s">
        <v>16</v>
      </c>
      <c r="AH18" t="s">
        <v>20</v>
      </c>
      <c r="AI18" t="s">
        <v>23</v>
      </c>
      <c r="AJ18" t="s">
        <v>20</v>
      </c>
    </row>
    <row r="19" spans="33:36" x14ac:dyDescent="0.3">
      <c r="AG19" s="2" t="s">
        <v>17</v>
      </c>
      <c r="AH19" t="s">
        <v>21</v>
      </c>
      <c r="AI19" t="s">
        <v>24</v>
      </c>
      <c r="AJ19" t="s">
        <v>21</v>
      </c>
    </row>
    <row r="20" spans="33:36" x14ac:dyDescent="0.3">
      <c r="AG20" t="s">
        <v>18</v>
      </c>
      <c r="AH20" t="s">
        <v>15</v>
      </c>
      <c r="AI20" t="s">
        <v>25</v>
      </c>
      <c r="AJ20" t="s">
        <v>15</v>
      </c>
    </row>
    <row r="21" spans="33:36" x14ac:dyDescent="0.3">
      <c r="AG21" t="s">
        <v>7</v>
      </c>
      <c r="AH21" t="s">
        <v>14</v>
      </c>
      <c r="AI21" t="s">
        <v>26</v>
      </c>
      <c r="AJ21" t="s">
        <v>14</v>
      </c>
    </row>
    <row r="22" spans="33:36" x14ac:dyDescent="0.3">
      <c r="AG22" t="s">
        <v>8</v>
      </c>
      <c r="AH22" t="s">
        <v>22</v>
      </c>
      <c r="AI22" t="s">
        <v>27</v>
      </c>
      <c r="AJ22" t="s">
        <v>22</v>
      </c>
    </row>
    <row r="23" spans="33:36" x14ac:dyDescent="0.3">
      <c r="AG23" t="s">
        <v>19</v>
      </c>
      <c r="AI23" t="s">
        <v>28</v>
      </c>
    </row>
  </sheetData>
  <mergeCells count="3">
    <mergeCell ref="R9:AA9"/>
    <mergeCell ref="M9:Q9"/>
    <mergeCell ref="H9:L9"/>
  </mergeCells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D3A4-11A6-49E0-87E9-356821BA5DA5}">
  <dimension ref="B3:H21"/>
  <sheetViews>
    <sheetView zoomScale="89" zoomScaleNormal="100" workbookViewId="0">
      <selection activeCell="E28" sqref="E28"/>
    </sheetView>
  </sheetViews>
  <sheetFormatPr baseColWidth="10" defaultRowHeight="14.4" x14ac:dyDescent="0.3"/>
  <cols>
    <col min="4" max="4" width="13.6640625" customWidth="1"/>
    <col min="5" max="5" width="14.33203125" customWidth="1"/>
  </cols>
  <sheetData>
    <row r="3" spans="2:8" ht="47.4" x14ac:dyDescent="0.9">
      <c r="B3" s="14" t="s">
        <v>70</v>
      </c>
    </row>
    <row r="4" spans="2:8" x14ac:dyDescent="0.3">
      <c r="B4" t="s">
        <v>71</v>
      </c>
    </row>
    <row r="5" spans="2:8" x14ac:dyDescent="0.3">
      <c r="B5" t="s">
        <v>72</v>
      </c>
    </row>
    <row r="6" spans="2:8" x14ac:dyDescent="0.3">
      <c r="B6" t="s">
        <v>103</v>
      </c>
    </row>
    <row r="10" spans="2:8" x14ac:dyDescent="0.3">
      <c r="D10" s="54" t="s">
        <v>121</v>
      </c>
      <c r="E10" s="53" t="s">
        <v>122</v>
      </c>
      <c r="F10" s="55" t="s">
        <v>52</v>
      </c>
      <c r="G10" s="56"/>
      <c r="H10" s="57"/>
    </row>
    <row r="11" spans="2:8" x14ac:dyDescent="0.3">
      <c r="B11" s="7" t="s">
        <v>35</v>
      </c>
      <c r="C11" s="9" t="s">
        <v>2</v>
      </c>
      <c r="D11" s="11" t="s">
        <v>140</v>
      </c>
      <c r="E11" s="12" t="s">
        <v>138</v>
      </c>
      <c r="F11" s="58" t="s">
        <v>50</v>
      </c>
      <c r="G11" s="58" t="s">
        <v>53</v>
      </c>
      <c r="H11" s="59" t="s">
        <v>139</v>
      </c>
    </row>
    <row r="12" spans="2:8" x14ac:dyDescent="0.3">
      <c r="B12" s="8" t="s">
        <v>54</v>
      </c>
      <c r="C12" s="1" t="s">
        <v>74</v>
      </c>
      <c r="D12" s="1" t="s">
        <v>67</v>
      </c>
      <c r="E12" s="1" t="s">
        <v>67</v>
      </c>
      <c r="F12" s="1" t="s">
        <v>79</v>
      </c>
      <c r="G12" s="1">
        <v>2</v>
      </c>
      <c r="H12" s="3" t="s">
        <v>13</v>
      </c>
    </row>
    <row r="13" spans="2:8" x14ac:dyDescent="0.3">
      <c r="B13" s="8" t="s">
        <v>54</v>
      </c>
      <c r="C13" s="1" t="s">
        <v>74</v>
      </c>
      <c r="D13" s="1" t="s">
        <v>69</v>
      </c>
      <c r="E13" s="1" t="s">
        <v>69</v>
      </c>
      <c r="F13" s="1" t="s">
        <v>79</v>
      </c>
      <c r="G13" s="1">
        <v>4</v>
      </c>
      <c r="H13" s="3" t="s">
        <v>69</v>
      </c>
    </row>
    <row r="14" spans="2:8" x14ac:dyDescent="0.3">
      <c r="B14" s="8" t="s">
        <v>59</v>
      </c>
      <c r="C14" s="1" t="s">
        <v>75</v>
      </c>
      <c r="D14" s="1" t="s">
        <v>67</v>
      </c>
      <c r="E14" s="1" t="s">
        <v>67</v>
      </c>
      <c r="F14" s="1" t="s">
        <v>80</v>
      </c>
      <c r="G14" s="1">
        <v>2</v>
      </c>
      <c r="H14" s="3" t="s">
        <v>11</v>
      </c>
    </row>
    <row r="15" spans="2:8" x14ac:dyDescent="0.3">
      <c r="B15" s="8" t="s">
        <v>59</v>
      </c>
      <c r="C15" s="1" t="s">
        <v>75</v>
      </c>
      <c r="D15" s="1" t="s">
        <v>69</v>
      </c>
      <c r="E15" s="1" t="s">
        <v>69</v>
      </c>
      <c r="F15" s="1" t="s">
        <v>80</v>
      </c>
      <c r="G15" s="1">
        <v>4</v>
      </c>
      <c r="H15" s="3" t="s">
        <v>69</v>
      </c>
    </row>
    <row r="16" spans="2:8" x14ac:dyDescent="0.3">
      <c r="B16" s="8" t="s">
        <v>55</v>
      </c>
      <c r="C16" s="1" t="s">
        <v>76</v>
      </c>
      <c r="D16" s="1" t="s">
        <v>67</v>
      </c>
      <c r="E16" s="1" t="s">
        <v>67</v>
      </c>
      <c r="F16" s="1" t="s">
        <v>79</v>
      </c>
      <c r="G16" s="1">
        <v>3</v>
      </c>
      <c r="H16" s="3" t="s">
        <v>12</v>
      </c>
    </row>
    <row r="17" spans="2:8" x14ac:dyDescent="0.3">
      <c r="B17" s="8" t="s">
        <v>55</v>
      </c>
      <c r="C17" s="1" t="s">
        <v>76</v>
      </c>
      <c r="D17" s="1" t="s">
        <v>69</v>
      </c>
      <c r="E17" s="1" t="s">
        <v>69</v>
      </c>
      <c r="F17" s="1" t="s">
        <v>79</v>
      </c>
      <c r="G17" s="1">
        <v>5</v>
      </c>
      <c r="H17" s="3" t="s">
        <v>69</v>
      </c>
    </row>
    <row r="18" spans="2:8" x14ac:dyDescent="0.3">
      <c r="B18" s="8" t="s">
        <v>60</v>
      </c>
      <c r="C18" s="1" t="s">
        <v>77</v>
      </c>
      <c r="D18" s="1" t="s">
        <v>67</v>
      </c>
      <c r="E18" s="1" t="s">
        <v>67</v>
      </c>
      <c r="F18" s="1" t="s">
        <v>80</v>
      </c>
      <c r="G18" s="1">
        <v>3</v>
      </c>
      <c r="H18" s="3" t="s">
        <v>10</v>
      </c>
    </row>
    <row r="19" spans="2:8" x14ac:dyDescent="0.3">
      <c r="B19" s="8" t="s">
        <v>60</v>
      </c>
      <c r="C19" s="1" t="s">
        <v>77</v>
      </c>
      <c r="D19" s="1" t="s">
        <v>69</v>
      </c>
      <c r="E19" s="1" t="s">
        <v>69</v>
      </c>
      <c r="F19" s="1" t="s">
        <v>80</v>
      </c>
      <c r="G19" s="1">
        <v>5</v>
      </c>
      <c r="H19" s="3" t="s">
        <v>69</v>
      </c>
    </row>
    <row r="20" spans="2:8" x14ac:dyDescent="0.3">
      <c r="B20" s="8" t="s">
        <v>73</v>
      </c>
      <c r="C20" s="1" t="s">
        <v>78</v>
      </c>
      <c r="D20" s="1" t="s">
        <v>67</v>
      </c>
      <c r="E20" s="1" t="s">
        <v>67</v>
      </c>
      <c r="F20" s="1" t="s">
        <v>4</v>
      </c>
      <c r="G20" s="1" t="s">
        <v>4</v>
      </c>
      <c r="H20" s="3" t="s">
        <v>4</v>
      </c>
    </row>
    <row r="21" spans="2:8" x14ac:dyDescent="0.3">
      <c r="B21" s="42" t="s">
        <v>73</v>
      </c>
      <c r="C21" s="4" t="s">
        <v>78</v>
      </c>
      <c r="D21" s="4" t="s">
        <v>69</v>
      </c>
      <c r="E21" s="4" t="s">
        <v>69</v>
      </c>
      <c r="F21" s="4" t="s">
        <v>4</v>
      </c>
      <c r="G21" s="4" t="s">
        <v>4</v>
      </c>
      <c r="H21" s="5" t="s">
        <v>4</v>
      </c>
    </row>
  </sheetData>
  <mergeCells count="1">
    <mergeCell ref="F10:H10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DA97-7D71-4A1C-99CE-75BF8DBE0851}">
  <dimension ref="B2:L60"/>
  <sheetViews>
    <sheetView tabSelected="1" zoomScale="46" zoomScaleNormal="115" workbookViewId="0">
      <selection activeCell="F45" sqref="F45"/>
    </sheetView>
  </sheetViews>
  <sheetFormatPr baseColWidth="10" defaultRowHeight="14.4" x14ac:dyDescent="0.3"/>
  <cols>
    <col min="3" max="3" width="11.6640625" customWidth="1"/>
  </cols>
  <sheetData>
    <row r="2" spans="2:9" ht="47.4" x14ac:dyDescent="0.9">
      <c r="B2" s="14" t="s">
        <v>45</v>
      </c>
    </row>
    <row r="3" spans="2:9" x14ac:dyDescent="0.3">
      <c r="B3" t="s">
        <v>46</v>
      </c>
    </row>
    <row r="4" spans="2:9" x14ac:dyDescent="0.3">
      <c r="B4" t="s">
        <v>136</v>
      </c>
    </row>
    <row r="5" spans="2:9" x14ac:dyDescent="0.3">
      <c r="B5" t="s">
        <v>47</v>
      </c>
    </row>
    <row r="6" spans="2:9" x14ac:dyDescent="0.3">
      <c r="B6" t="s">
        <v>104</v>
      </c>
    </row>
    <row r="8" spans="2:9" ht="36.6" x14ac:dyDescent="0.7">
      <c r="B8" s="23" t="s">
        <v>48</v>
      </c>
    </row>
    <row r="9" spans="2:9" x14ac:dyDescent="0.3">
      <c r="D9" s="48" t="s">
        <v>121</v>
      </c>
      <c r="E9" s="48"/>
      <c r="F9" s="41" t="s">
        <v>122</v>
      </c>
      <c r="G9" s="41"/>
      <c r="H9" s="40" t="s">
        <v>52</v>
      </c>
      <c r="I9" s="40"/>
    </row>
    <row r="10" spans="2:9" x14ac:dyDescent="0.3">
      <c r="B10" s="49" t="s">
        <v>35</v>
      </c>
      <c r="C10" s="49" t="s">
        <v>120</v>
      </c>
      <c r="D10" s="50" t="s">
        <v>130</v>
      </c>
      <c r="E10" s="50" t="s">
        <v>131</v>
      </c>
      <c r="F10" s="51" t="s">
        <v>132</v>
      </c>
      <c r="G10" s="51" t="s">
        <v>133</v>
      </c>
      <c r="H10" s="52" t="s">
        <v>134</v>
      </c>
      <c r="I10" s="52" t="s">
        <v>135</v>
      </c>
    </row>
    <row r="11" spans="2:9" x14ac:dyDescent="0.3">
      <c r="B11" s="47" t="s">
        <v>123</v>
      </c>
      <c r="C11" s="36" t="s">
        <v>78</v>
      </c>
      <c r="D11" s="36" t="s">
        <v>4</v>
      </c>
      <c r="E11" s="36" t="s">
        <v>4</v>
      </c>
      <c r="F11" s="36" t="s">
        <v>4</v>
      </c>
      <c r="G11" s="36" t="s">
        <v>4</v>
      </c>
      <c r="H11" s="36" t="s">
        <v>10</v>
      </c>
      <c r="I11" s="36" t="s">
        <v>69</v>
      </c>
    </row>
    <row r="12" spans="2:9" x14ac:dyDescent="0.3">
      <c r="B12" s="47" t="s">
        <v>124</v>
      </c>
      <c r="C12" s="36" t="s">
        <v>77</v>
      </c>
      <c r="D12" s="36" t="s">
        <v>69</v>
      </c>
      <c r="E12" s="36" t="s">
        <v>10</v>
      </c>
      <c r="F12" s="36" t="s">
        <v>4</v>
      </c>
      <c r="G12" s="36" t="s">
        <v>4</v>
      </c>
      <c r="H12" s="36" t="s">
        <v>10</v>
      </c>
      <c r="I12" s="36" t="s">
        <v>129</v>
      </c>
    </row>
    <row r="13" spans="2:9" x14ac:dyDescent="0.3">
      <c r="B13" s="47" t="s">
        <v>125</v>
      </c>
      <c r="C13" s="36" t="s">
        <v>75</v>
      </c>
      <c r="D13" s="36" t="s">
        <v>69</v>
      </c>
      <c r="E13" s="36" t="s">
        <v>10</v>
      </c>
      <c r="F13" s="36" t="s">
        <v>4</v>
      </c>
      <c r="G13" s="36" t="s">
        <v>4</v>
      </c>
      <c r="H13" s="36" t="s">
        <v>128</v>
      </c>
      <c r="I13" s="36" t="s">
        <v>12</v>
      </c>
    </row>
    <row r="14" spans="2:9" x14ac:dyDescent="0.3">
      <c r="B14" s="47" t="s">
        <v>126</v>
      </c>
      <c r="C14" s="36" t="s">
        <v>76</v>
      </c>
      <c r="D14" s="36" t="s">
        <v>69</v>
      </c>
      <c r="E14" s="36" t="s">
        <v>67</v>
      </c>
      <c r="F14" s="36" t="s">
        <v>69</v>
      </c>
      <c r="G14" s="36" t="s">
        <v>67</v>
      </c>
      <c r="H14" s="36" t="s">
        <v>13</v>
      </c>
      <c r="I14" s="36" t="s">
        <v>11</v>
      </c>
    </row>
    <row r="15" spans="2:9" x14ac:dyDescent="0.3">
      <c r="B15" s="47" t="s">
        <v>127</v>
      </c>
      <c r="C15" s="36" t="s">
        <v>74</v>
      </c>
      <c r="D15" s="36" t="s">
        <v>69</v>
      </c>
      <c r="E15" s="36" t="s">
        <v>67</v>
      </c>
      <c r="F15" s="36" t="s">
        <v>69</v>
      </c>
      <c r="G15" s="36" t="s">
        <v>67</v>
      </c>
      <c r="H15" s="36" t="s">
        <v>9</v>
      </c>
      <c r="I15" s="36" t="s">
        <v>68</v>
      </c>
    </row>
    <row r="18" spans="2:9" x14ac:dyDescent="0.3">
      <c r="D18" s="48" t="s">
        <v>121</v>
      </c>
      <c r="E18" s="48"/>
      <c r="F18" s="41" t="s">
        <v>122</v>
      </c>
      <c r="G18" s="41"/>
      <c r="H18" s="40" t="s">
        <v>52</v>
      </c>
      <c r="I18" s="40"/>
    </row>
    <row r="19" spans="2:9" x14ac:dyDescent="0.3">
      <c r="B19" s="49" t="s">
        <v>35</v>
      </c>
      <c r="C19" s="49" t="s">
        <v>120</v>
      </c>
      <c r="D19" s="50" t="s">
        <v>130</v>
      </c>
      <c r="E19" s="50" t="s">
        <v>131</v>
      </c>
      <c r="F19" s="51" t="s">
        <v>132</v>
      </c>
      <c r="G19" s="51" t="s">
        <v>133</v>
      </c>
      <c r="H19" s="52" t="s">
        <v>134</v>
      </c>
      <c r="I19" s="52" t="s">
        <v>135</v>
      </c>
    </row>
    <row r="20" spans="2:9" x14ac:dyDescent="0.3">
      <c r="B20" s="47" t="s">
        <v>109</v>
      </c>
      <c r="C20" s="36" t="s">
        <v>77</v>
      </c>
      <c r="D20" s="36" t="s">
        <v>67</v>
      </c>
      <c r="E20" s="36" t="s">
        <v>67</v>
      </c>
      <c r="F20" s="36" t="s">
        <v>67</v>
      </c>
      <c r="G20" s="36" t="s">
        <v>69</v>
      </c>
      <c r="H20" s="36" t="s">
        <v>137</v>
      </c>
      <c r="I20" s="36" t="s">
        <v>13</v>
      </c>
    </row>
    <row r="21" spans="2:9" x14ac:dyDescent="0.3">
      <c r="B21" s="47" t="s">
        <v>114</v>
      </c>
      <c r="C21" s="36" t="s">
        <v>76</v>
      </c>
      <c r="D21" s="36" t="s">
        <v>67</v>
      </c>
      <c r="E21" s="36" t="s">
        <v>67</v>
      </c>
      <c r="F21" s="36" t="s">
        <v>67</v>
      </c>
      <c r="G21" s="36" t="s">
        <v>69</v>
      </c>
      <c r="H21" s="36" t="s">
        <v>67</v>
      </c>
      <c r="I21" s="36" t="s">
        <v>69</v>
      </c>
    </row>
    <row r="24" spans="2:9" ht="36.6" x14ac:dyDescent="0.7">
      <c r="B24" s="23" t="s">
        <v>49</v>
      </c>
    </row>
    <row r="25" spans="2:9" x14ac:dyDescent="0.3">
      <c r="C25" s="37" t="s">
        <v>52</v>
      </c>
      <c r="D25" s="37"/>
      <c r="E25" s="37"/>
    </row>
    <row r="26" spans="2:9" ht="15" thickBot="1" x14ac:dyDescent="0.35">
      <c r="B26" s="31" t="s">
        <v>51</v>
      </c>
      <c r="C26" s="24" t="s">
        <v>50</v>
      </c>
      <c r="D26" s="15" t="s">
        <v>53</v>
      </c>
      <c r="E26" s="16" t="s">
        <v>66</v>
      </c>
    </row>
    <row r="27" spans="2:9" x14ac:dyDescent="0.3">
      <c r="B27" s="32" t="s">
        <v>81</v>
      </c>
      <c r="C27" s="25" t="s">
        <v>80</v>
      </c>
      <c r="D27" s="17">
        <v>1</v>
      </c>
      <c r="E27" s="18" t="s">
        <v>82</v>
      </c>
    </row>
    <row r="28" spans="2:9" x14ac:dyDescent="0.3">
      <c r="B28" s="33" t="s">
        <v>59</v>
      </c>
      <c r="C28" s="26" t="s">
        <v>80</v>
      </c>
      <c r="D28" s="19">
        <v>2</v>
      </c>
      <c r="E28" s="20" t="s">
        <v>11</v>
      </c>
    </row>
    <row r="29" spans="2:9" x14ac:dyDescent="0.3">
      <c r="B29" s="33" t="s">
        <v>60</v>
      </c>
      <c r="C29" s="26" t="s">
        <v>80</v>
      </c>
      <c r="D29" s="19">
        <v>3</v>
      </c>
      <c r="E29" s="20" t="s">
        <v>10</v>
      </c>
    </row>
    <row r="30" spans="2:9" x14ac:dyDescent="0.3">
      <c r="B30" s="33" t="s">
        <v>59</v>
      </c>
      <c r="C30" s="26" t="s">
        <v>80</v>
      </c>
      <c r="D30" s="19">
        <v>4</v>
      </c>
      <c r="E30" s="20" t="s">
        <v>69</v>
      </c>
    </row>
    <row r="31" spans="2:9" x14ac:dyDescent="0.3">
      <c r="B31" s="33" t="s">
        <v>60</v>
      </c>
      <c r="C31" s="26" t="s">
        <v>80</v>
      </c>
      <c r="D31" s="19">
        <v>5</v>
      </c>
      <c r="E31" s="20" t="s">
        <v>69</v>
      </c>
    </row>
    <row r="32" spans="2:9" x14ac:dyDescent="0.3">
      <c r="B32" s="33" t="s">
        <v>81</v>
      </c>
      <c r="C32" s="26" t="s">
        <v>80</v>
      </c>
      <c r="D32" s="19">
        <v>6</v>
      </c>
      <c r="E32" s="20" t="s">
        <v>82</v>
      </c>
    </row>
    <row r="33" spans="2:12" x14ac:dyDescent="0.3">
      <c r="B33" s="33" t="s">
        <v>61</v>
      </c>
      <c r="C33" s="26" t="s">
        <v>80</v>
      </c>
      <c r="D33" s="19">
        <v>7</v>
      </c>
      <c r="E33" s="20" t="s">
        <v>68</v>
      </c>
    </row>
    <row r="34" spans="2:12" x14ac:dyDescent="0.3">
      <c r="B34" s="33" t="s">
        <v>62</v>
      </c>
      <c r="C34" s="26" t="s">
        <v>80</v>
      </c>
      <c r="D34" s="19">
        <v>8</v>
      </c>
      <c r="E34" s="20" t="s">
        <v>11</v>
      </c>
    </row>
    <row r="35" spans="2:12" x14ac:dyDescent="0.3">
      <c r="B35" s="33" t="s">
        <v>63</v>
      </c>
      <c r="C35" s="26" t="s">
        <v>80</v>
      </c>
      <c r="D35" s="19">
        <v>9</v>
      </c>
      <c r="E35" s="20" t="s">
        <v>12</v>
      </c>
    </row>
    <row r="36" spans="2:12" ht="36.6" x14ac:dyDescent="0.7">
      <c r="B36" s="33" t="s">
        <v>107</v>
      </c>
      <c r="C36" s="26" t="s">
        <v>80</v>
      </c>
      <c r="D36" s="19">
        <v>10</v>
      </c>
      <c r="E36" s="20" t="s">
        <v>68</v>
      </c>
      <c r="K36" s="23" t="s">
        <v>118</v>
      </c>
    </row>
    <row r="37" spans="2:12" x14ac:dyDescent="0.3">
      <c r="B37" s="33" t="s">
        <v>108</v>
      </c>
      <c r="C37" s="26" t="s">
        <v>80</v>
      </c>
      <c r="D37" s="19">
        <v>11</v>
      </c>
      <c r="E37" s="20" t="s">
        <v>11</v>
      </c>
      <c r="K37" s="44" t="str">
        <f>B27</f>
        <v xml:space="preserve">VACÍO </v>
      </c>
      <c r="L37" s="45" t="str">
        <f>B44</f>
        <v xml:space="preserve">VACÍO </v>
      </c>
    </row>
    <row r="38" spans="2:12" x14ac:dyDescent="0.3">
      <c r="B38" s="33" t="s">
        <v>109</v>
      </c>
      <c r="C38" s="26" t="s">
        <v>80</v>
      </c>
      <c r="D38" s="19">
        <v>12</v>
      </c>
      <c r="E38" s="20" t="s">
        <v>12</v>
      </c>
      <c r="K38" s="44" t="str">
        <f>B28</f>
        <v>LS4</v>
      </c>
      <c r="L38" s="45" t="str">
        <f>B45</f>
        <v>LS5</v>
      </c>
    </row>
    <row r="39" spans="2:12" x14ac:dyDescent="0.3">
      <c r="B39" s="33" t="s">
        <v>64</v>
      </c>
      <c r="C39" s="26" t="s">
        <v>80</v>
      </c>
      <c r="D39" s="19">
        <v>13</v>
      </c>
      <c r="E39" s="20" t="s">
        <v>67</v>
      </c>
      <c r="K39" s="44" t="str">
        <f>B29</f>
        <v>LS2</v>
      </c>
      <c r="L39" s="45" t="str">
        <f>B46</f>
        <v>LS3</v>
      </c>
    </row>
    <row r="40" spans="2:12" x14ac:dyDescent="0.3">
      <c r="B40" s="33" t="s">
        <v>110</v>
      </c>
      <c r="C40" s="26" t="s">
        <v>80</v>
      </c>
      <c r="D40" s="19">
        <v>14</v>
      </c>
      <c r="E40" s="20" t="s">
        <v>9</v>
      </c>
      <c r="K40" s="44" t="str">
        <f>B30</f>
        <v>LS4</v>
      </c>
      <c r="L40" s="45" t="str">
        <f>B47</f>
        <v>LS5</v>
      </c>
    </row>
    <row r="41" spans="2:12" x14ac:dyDescent="0.3">
      <c r="B41" s="33" t="s">
        <v>65</v>
      </c>
      <c r="C41" s="26" t="s">
        <v>80</v>
      </c>
      <c r="D41" s="19">
        <v>15</v>
      </c>
      <c r="E41" s="20" t="s">
        <v>10</v>
      </c>
      <c r="K41" s="44" t="str">
        <f>B31</f>
        <v>LS2</v>
      </c>
      <c r="L41" s="45" t="str">
        <f>B48</f>
        <v>LS3</v>
      </c>
    </row>
    <row r="42" spans="2:12" x14ac:dyDescent="0.3">
      <c r="B42" s="33" t="s">
        <v>111</v>
      </c>
      <c r="C42" s="26" t="s">
        <v>80</v>
      </c>
      <c r="D42" s="19">
        <v>16</v>
      </c>
      <c r="E42" s="20" t="s">
        <v>10</v>
      </c>
      <c r="K42" s="44" t="str">
        <f>B32</f>
        <v xml:space="preserve">VACÍO </v>
      </c>
      <c r="L42" s="45" t="str">
        <f>B49</f>
        <v xml:space="preserve">VACÍO </v>
      </c>
    </row>
    <row r="43" spans="2:12" ht="15" thickBot="1" x14ac:dyDescent="0.35">
      <c r="B43" s="34" t="s">
        <v>112</v>
      </c>
      <c r="C43" s="27" t="s">
        <v>80</v>
      </c>
      <c r="D43" s="21">
        <v>17</v>
      </c>
      <c r="E43" s="22" t="s">
        <v>69</v>
      </c>
      <c r="K43" s="44" t="str">
        <f>B33</f>
        <v>A5</v>
      </c>
      <c r="L43" s="45" t="str">
        <f>B50</f>
        <v>Z5</v>
      </c>
    </row>
    <row r="44" spans="2:12" x14ac:dyDescent="0.3">
      <c r="B44" s="6" t="s">
        <v>81</v>
      </c>
      <c r="C44" s="28" t="s">
        <v>79</v>
      </c>
      <c r="D44" s="9">
        <v>1</v>
      </c>
      <c r="E44" s="10" t="s">
        <v>82</v>
      </c>
      <c r="K44" s="44" t="str">
        <f>B34</f>
        <v>Z4</v>
      </c>
      <c r="L44" s="45" t="str">
        <f>B51</f>
        <v>B5</v>
      </c>
    </row>
    <row r="45" spans="2:12" x14ac:dyDescent="0.3">
      <c r="B45" s="35" t="s">
        <v>54</v>
      </c>
      <c r="C45" s="29" t="s">
        <v>79</v>
      </c>
      <c r="D45" s="1">
        <v>2</v>
      </c>
      <c r="E45" s="3" t="s">
        <v>13</v>
      </c>
      <c r="K45" s="44" t="str">
        <f>B35</f>
        <v>B4</v>
      </c>
      <c r="L45" s="45" t="str">
        <f>B52</f>
        <v>A4</v>
      </c>
    </row>
    <row r="46" spans="2:12" x14ac:dyDescent="0.3">
      <c r="B46" s="35" t="s">
        <v>55</v>
      </c>
      <c r="C46" s="29" t="s">
        <v>79</v>
      </c>
      <c r="D46" s="1">
        <v>3</v>
      </c>
      <c r="E46" s="3" t="s">
        <v>12</v>
      </c>
      <c r="J46" s="46" t="s">
        <v>119</v>
      </c>
      <c r="K46" s="44" t="str">
        <f>B36</f>
        <v>A3</v>
      </c>
      <c r="L46" s="45" t="str">
        <f>B53</f>
        <v>Z3</v>
      </c>
    </row>
    <row r="47" spans="2:12" x14ac:dyDescent="0.3">
      <c r="B47" s="35" t="s">
        <v>54</v>
      </c>
      <c r="C47" s="29" t="s">
        <v>79</v>
      </c>
      <c r="D47" s="1">
        <v>4</v>
      </c>
      <c r="E47" s="3" t="s">
        <v>69</v>
      </c>
      <c r="K47" s="44" t="str">
        <f>B37</f>
        <v>Z2</v>
      </c>
      <c r="L47" s="45" t="str">
        <f>B54</f>
        <v>B3</v>
      </c>
    </row>
    <row r="48" spans="2:12" x14ac:dyDescent="0.3">
      <c r="B48" s="35" t="s">
        <v>55</v>
      </c>
      <c r="C48" s="29" t="s">
        <v>79</v>
      </c>
      <c r="D48" s="1">
        <v>5</v>
      </c>
      <c r="E48" s="3" t="s">
        <v>69</v>
      </c>
      <c r="K48" s="44" t="str">
        <f>B38</f>
        <v>B2</v>
      </c>
      <c r="L48" s="45" t="str">
        <f>B55</f>
        <v>A2</v>
      </c>
    </row>
    <row r="49" spans="2:12" x14ac:dyDescent="0.3">
      <c r="B49" s="35" t="s">
        <v>81</v>
      </c>
      <c r="C49" s="29" t="s">
        <v>79</v>
      </c>
      <c r="D49" s="1">
        <v>6</v>
      </c>
      <c r="E49" s="3" t="s">
        <v>82</v>
      </c>
      <c r="K49" s="44" t="str">
        <f>B39</f>
        <v>G4</v>
      </c>
      <c r="L49" s="45" t="str">
        <f>B56</f>
        <v>G5</v>
      </c>
    </row>
    <row r="50" spans="2:12" x14ac:dyDescent="0.3">
      <c r="B50" s="35" t="s">
        <v>56</v>
      </c>
      <c r="C50" s="29" t="s">
        <v>79</v>
      </c>
      <c r="D50" s="1">
        <v>7</v>
      </c>
      <c r="E50" s="3" t="s">
        <v>67</v>
      </c>
      <c r="K50" s="44" t="str">
        <f>B40</f>
        <v>G2</v>
      </c>
      <c r="L50" s="45" t="str">
        <f>B57</f>
        <v>G3</v>
      </c>
    </row>
    <row r="51" spans="2:12" x14ac:dyDescent="0.3">
      <c r="B51" s="35" t="s">
        <v>34</v>
      </c>
      <c r="C51" s="29" t="s">
        <v>79</v>
      </c>
      <c r="D51" s="1">
        <v>8</v>
      </c>
      <c r="E51" s="3" t="s">
        <v>67</v>
      </c>
      <c r="K51" s="44" t="str">
        <f>B41</f>
        <v>V4</v>
      </c>
      <c r="L51" s="45" t="str">
        <f>B58</f>
        <v>V5</v>
      </c>
    </row>
    <row r="52" spans="2:12" x14ac:dyDescent="0.3">
      <c r="B52" s="35" t="s">
        <v>33</v>
      </c>
      <c r="C52" s="29" t="s">
        <v>79</v>
      </c>
      <c r="D52" s="1">
        <v>9</v>
      </c>
      <c r="E52" s="3" t="s">
        <v>67</v>
      </c>
      <c r="K52" s="44" t="str">
        <f>B42</f>
        <v>V2</v>
      </c>
      <c r="L52" s="45" t="str">
        <f>B59</f>
        <v>V3</v>
      </c>
    </row>
    <row r="53" spans="2:12" x14ac:dyDescent="0.3">
      <c r="B53" s="35" t="s">
        <v>113</v>
      </c>
      <c r="C53" s="29" t="s">
        <v>79</v>
      </c>
      <c r="D53" s="1">
        <v>10</v>
      </c>
      <c r="E53" s="3" t="s">
        <v>9</v>
      </c>
      <c r="K53" s="44" t="str">
        <f>B43</f>
        <v>Extra?</v>
      </c>
      <c r="L53" s="45">
        <f>B60</f>
        <v>0</v>
      </c>
    </row>
    <row r="54" spans="2:12" x14ac:dyDescent="0.3">
      <c r="B54" s="35" t="s">
        <v>114</v>
      </c>
      <c r="C54" s="29" t="s">
        <v>79</v>
      </c>
      <c r="D54" s="1">
        <v>11</v>
      </c>
      <c r="E54" s="3" t="s">
        <v>9</v>
      </c>
    </row>
    <row r="55" spans="2:12" x14ac:dyDescent="0.3">
      <c r="B55" s="35" t="s">
        <v>115</v>
      </c>
      <c r="C55" s="29" t="s">
        <v>79</v>
      </c>
      <c r="D55" s="1">
        <v>12</v>
      </c>
      <c r="E55" s="3" t="s">
        <v>9</v>
      </c>
    </row>
    <row r="56" spans="2:12" x14ac:dyDescent="0.3">
      <c r="B56" s="35" t="s">
        <v>57</v>
      </c>
      <c r="C56" s="29" t="s">
        <v>79</v>
      </c>
      <c r="D56" s="1">
        <v>13</v>
      </c>
      <c r="E56" s="3" t="s">
        <v>13</v>
      </c>
    </row>
    <row r="57" spans="2:12" x14ac:dyDescent="0.3">
      <c r="B57" s="35" t="s">
        <v>116</v>
      </c>
      <c r="C57" s="29" t="s">
        <v>79</v>
      </c>
      <c r="D57" s="1">
        <v>14</v>
      </c>
      <c r="E57" s="3" t="s">
        <v>13</v>
      </c>
    </row>
    <row r="58" spans="2:12" x14ac:dyDescent="0.3">
      <c r="B58" s="35" t="s">
        <v>58</v>
      </c>
      <c r="C58" s="29" t="s">
        <v>79</v>
      </c>
      <c r="D58" s="1">
        <v>15</v>
      </c>
      <c r="E58" s="3" t="s">
        <v>67</v>
      </c>
    </row>
    <row r="59" spans="2:12" x14ac:dyDescent="0.3">
      <c r="B59" s="35" t="s">
        <v>117</v>
      </c>
      <c r="C59" s="29" t="s">
        <v>79</v>
      </c>
      <c r="D59" s="1">
        <v>16</v>
      </c>
      <c r="E59" s="3" t="s">
        <v>9</v>
      </c>
    </row>
    <row r="60" spans="2:12" x14ac:dyDescent="0.3">
      <c r="B60" s="43"/>
      <c r="C60" s="30" t="s">
        <v>79</v>
      </c>
      <c r="D60" s="4">
        <v>17</v>
      </c>
      <c r="E60" s="5" t="s">
        <v>69</v>
      </c>
    </row>
  </sheetData>
  <mergeCells count="7">
    <mergeCell ref="D9:E9"/>
    <mergeCell ref="F9:G9"/>
    <mergeCell ref="H9:I9"/>
    <mergeCell ref="D18:E18"/>
    <mergeCell ref="F18:G18"/>
    <mergeCell ref="H18:I18"/>
    <mergeCell ref="C25:E25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Encoder</vt:lpstr>
      <vt:lpstr>LS</vt:lpstr>
      <vt:lpstr>SDP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Tobón Pérez</dc:creator>
  <cp:lastModifiedBy>Daniela Tobón Pérez</cp:lastModifiedBy>
  <dcterms:created xsi:type="dcterms:W3CDTF">2026-02-24T19:39:19Z</dcterms:created>
  <dcterms:modified xsi:type="dcterms:W3CDTF">2026-03-06T19:05:40Z</dcterms:modified>
</cp:coreProperties>
</file>